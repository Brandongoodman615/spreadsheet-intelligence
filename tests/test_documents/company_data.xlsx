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/>
  <xr:revisionPtr revIDLastSave="8" documentId="11_B86EF08EFCFFFBAF6B45AD8CDE99B70516FA3B03" xr6:coauthVersionLast="47" xr6:coauthVersionMax="47" xr10:uidLastSave="{DF24F44C-61AD-4540-A9A3-A967AC76E8FE}"/>
  <bookViews>
    <workbookView xWindow="0" yWindow="0" windowWidth="0" windowHeight="0" activeTab="2" xr2:uid="{00000000-000D-0000-FFFF-FFFF00000000}"/>
  </bookViews>
  <sheets>
    <sheet name="Sales" sheetId="1" r:id="rId1"/>
    <sheet name="Products" sheetId="2" r:id="rId2"/>
    <sheet name="Employees" sheetId="3" r:id="rId3"/>
    <sheet name="Budgets" sheetId="4" r:id="rId4"/>
    <sheet name="Actuals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I29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6" i="1"/>
</calcChain>
</file>

<file path=xl/sharedStrings.xml><?xml version="1.0" encoding="utf-8"?>
<sst xmlns="http://schemas.openxmlformats.org/spreadsheetml/2006/main" count="313" uniqueCount="132">
  <si>
    <t/>
  </si>
  <si>
    <t>Acme Corporation</t>
  </si>
  <si>
    <t>Sales Report - H1 2024</t>
  </si>
  <si>
    <t>Transaction ID</t>
  </si>
  <si>
    <t>Date</t>
  </si>
  <si>
    <t>Region</t>
  </si>
  <si>
    <t>Product ID</t>
  </si>
  <si>
    <t>Quantity</t>
  </si>
  <si>
    <t>Unit Price</t>
  </si>
  <si>
    <t>Sales Rep ID</t>
  </si>
  <si>
    <t>TXN-001</t>
  </si>
  <si>
    <t>2024-01-15</t>
  </si>
  <si>
    <t>West</t>
  </si>
  <si>
    <t>PROD-101</t>
  </si>
  <si>
    <t>REP-003</t>
  </si>
  <si>
    <t>TXN-002</t>
  </si>
  <si>
    <t>2024-01-18</t>
  </si>
  <si>
    <t>East</t>
  </si>
  <si>
    <t>PROD-102</t>
  </si>
  <si>
    <t>REP-001</t>
  </si>
  <si>
    <t>TXN-003</t>
  </si>
  <si>
    <t>2024-01-22</t>
  </si>
  <si>
    <t>PROD-103</t>
  </si>
  <si>
    <t>TXN-004</t>
  </si>
  <si>
    <t>2024-02-01</t>
  </si>
  <si>
    <t>North</t>
  </si>
  <si>
    <t>REP-002</t>
  </si>
  <si>
    <t>TXN-005</t>
  </si>
  <si>
    <t>2024-02-05</t>
  </si>
  <si>
    <t>PROD-104</t>
  </si>
  <si>
    <t>TXN-006</t>
  </si>
  <si>
    <t>2024-02-14</t>
  </si>
  <si>
    <t>South</t>
  </si>
  <si>
    <t>REP-004</t>
  </si>
  <si>
    <t>TXN-007</t>
  </si>
  <si>
    <t>2024-02-20</t>
  </si>
  <si>
    <t>PROD-105</t>
  </si>
  <si>
    <t>TXN-008</t>
  </si>
  <si>
    <t>2024-03-01</t>
  </si>
  <si>
    <t>TXN-009</t>
  </si>
  <si>
    <t>2024-03-10</t>
  </si>
  <si>
    <t>TXN-010</t>
  </si>
  <si>
    <t>2024-03-15</t>
  </si>
  <si>
    <t>TXN-011</t>
  </si>
  <si>
    <t>2024-03-22</t>
  </si>
  <si>
    <t>REP-005</t>
  </si>
  <si>
    <t>TXN-012</t>
  </si>
  <si>
    <t>2024-04-02</t>
  </si>
  <si>
    <t>TXN-013</t>
  </si>
  <si>
    <t>2024-04-08</t>
  </si>
  <si>
    <t>TXN-014</t>
  </si>
  <si>
    <t>2024-04-15</t>
  </si>
  <si>
    <t>TXN-015</t>
  </si>
  <si>
    <t>2024-04-22</t>
  </si>
  <si>
    <t>TXN-016</t>
  </si>
  <si>
    <t>2024-05-01</t>
  </si>
  <si>
    <t>TXN-017</t>
  </si>
  <si>
    <t>2024-05-10</t>
  </si>
  <si>
    <t>TXN-018</t>
  </si>
  <si>
    <t>2024-05-18</t>
  </si>
  <si>
    <t>TXN-019</t>
  </si>
  <si>
    <t>2024-05-25</t>
  </si>
  <si>
    <t>TXN-020</t>
  </si>
  <si>
    <t>2024-06-03</t>
  </si>
  <si>
    <t>TXN-021</t>
  </si>
  <si>
    <t>2024-06-12</t>
  </si>
  <si>
    <t>TXN-022</t>
  </si>
  <si>
    <t>2024-06-20</t>
  </si>
  <si>
    <t>TXN-023</t>
  </si>
  <si>
    <t>2024-06-28</t>
  </si>
  <si>
    <t>Product Catalog</t>
  </si>
  <si>
    <t>Product Name</t>
  </si>
  <si>
    <t>Category</t>
  </si>
  <si>
    <t>Cost</t>
  </si>
  <si>
    <t>Margin</t>
  </si>
  <si>
    <t>Enterprise Server Pro</t>
  </si>
  <si>
    <t>Hardware</t>
  </si>
  <si>
    <t>40%</t>
  </si>
  <si>
    <t>CloudSync License</t>
  </si>
  <si>
    <t>Software</t>
  </si>
  <si>
    <t>70%</t>
  </si>
  <si>
    <t>Basic Support Plan</t>
  </si>
  <si>
    <t>Services</t>
  </si>
  <si>
    <t>62%</t>
  </si>
  <si>
    <t>Premium Analytics Suite</t>
  </si>
  <si>
    <t>57%</t>
  </si>
  <si>
    <t>Dedicated Hosting</t>
  </si>
  <si>
    <t>Sales Team</t>
  </si>
  <si>
    <t>Rep ID</t>
  </si>
  <si>
    <t>Name</t>
  </si>
  <si>
    <t>Hire Date</t>
  </si>
  <si>
    <t>H1 Quota</t>
  </si>
  <si>
    <t>Commission</t>
  </si>
  <si>
    <t>Sarah Chen</t>
  </si>
  <si>
    <t>2021-03-15</t>
  </si>
  <si>
    <t>8%</t>
  </si>
  <si>
    <t>Marcus Johnson</t>
  </si>
  <si>
    <t>2020-07-01</t>
  </si>
  <si>
    <t>Emily Rodriguez</t>
  </si>
  <si>
    <t>2019-11-20</t>
  </si>
  <si>
    <t>10%</t>
  </si>
  <si>
    <t>David Kim</t>
  </si>
  <si>
    <t>2022-01-10</t>
  </si>
  <si>
    <t>7%</t>
  </si>
  <si>
    <t>Lisa Thompson</t>
  </si>
  <si>
    <t>2023-06-01</t>
  </si>
  <si>
    <t>6%</t>
  </si>
  <si>
    <t>Department Budgets - H1 2024</t>
  </si>
  <si>
    <t>Q1 Budget</t>
  </si>
  <si>
    <t>Q2 Budget</t>
  </si>
  <si>
    <t>H1 Total</t>
  </si>
  <si>
    <t>SALES</t>
  </si>
  <si>
    <t>Salaries</t>
  </si>
  <si>
    <t>Travel</t>
  </si>
  <si>
    <t>Tools</t>
  </si>
  <si>
    <t>Sales Total</t>
  </si>
  <si>
    <t>MARKETING</t>
  </si>
  <si>
    <t>Advertising</t>
  </si>
  <si>
    <t>Events</t>
  </si>
  <si>
    <t>Marketing Total</t>
  </si>
  <si>
    <t>ENGINEERING</t>
  </si>
  <si>
    <t>Infrastructure</t>
  </si>
  <si>
    <t>Contractors</t>
  </si>
  <si>
    <t>Engineering Total</t>
  </si>
  <si>
    <t>GRAND TOTAL</t>
  </si>
  <si>
    <t>Actual Spend - H1 2024</t>
  </si>
  <si>
    <t>Department</t>
  </si>
  <si>
    <t>Q1 Actual</t>
  </si>
  <si>
    <t>Q2 Actual</t>
  </si>
  <si>
    <t>Sales</t>
  </si>
  <si>
    <t>Marketing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</si>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</sst>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opLeftCell="A3" workbookViewId="0">
      <selection activeCell="I29" sqref="I29"/>
    </sheetView>
  </sheetViews>
  <sheetFormatPr defaultRowHeight="15"/>
  <sheetData>
    <row r="1" spans="1:9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9">
      <c r="A2" s="1" t="s">
        <v>1</v>
      </c>
      <c r="B2" s="1" t="s">
        <v>0</v>
      </c>
      <c r="C2" s="1" t="s">
        <v>0</v>
      </c>
      <c r="D2" s="1" t="s">
        <v>0</v>
      </c>
      <c r="E2" s="1" t="s">
        <v>0</v>
      </c>
      <c r="F2" t="s">
        <v>0</v>
      </c>
      <c r="G2" t="s">
        <v>0</v>
      </c>
    </row>
    <row r="3" spans="1:9">
      <c r="A3" s="1" t="s">
        <v>2</v>
      </c>
      <c r="B3" s="1" t="s">
        <v>0</v>
      </c>
      <c r="C3" s="1" t="s">
        <v>0</v>
      </c>
      <c r="D3" s="1" t="s">
        <v>0</v>
      </c>
      <c r="E3" t="s">
        <v>0</v>
      </c>
      <c r="F3" t="s">
        <v>0</v>
      </c>
      <c r="G3" t="s">
        <v>0</v>
      </c>
    </row>
    <row r="4" spans="1:9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</row>
    <row r="5" spans="1:9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9">
      <c r="A6" t="s">
        <v>10</v>
      </c>
      <c r="B6" t="s">
        <v>11</v>
      </c>
      <c r="C6" t="s">
        <v>12</v>
      </c>
      <c r="D6" t="s">
        <v>13</v>
      </c>
      <c r="E6">
        <v>50</v>
      </c>
      <c r="F6">
        <v>299.99</v>
      </c>
      <c r="G6" t="s">
        <v>14</v>
      </c>
      <c r="I6">
        <f>F6*E6</f>
        <v>14999.5</v>
      </c>
    </row>
    <row r="7" spans="1:9">
      <c r="A7" t="s">
        <v>15</v>
      </c>
      <c r="B7" t="s">
        <v>16</v>
      </c>
      <c r="C7" t="s">
        <v>17</v>
      </c>
      <c r="D7" t="s">
        <v>18</v>
      </c>
      <c r="E7">
        <v>30</v>
      </c>
      <c r="F7">
        <v>149.99</v>
      </c>
      <c r="G7" t="s">
        <v>19</v>
      </c>
      <c r="I7">
        <f t="shared" ref="I7:I28" si="0">F7*E7</f>
        <v>4499.7000000000007</v>
      </c>
    </row>
    <row r="8" spans="1:9">
      <c r="A8" t="s">
        <v>20</v>
      </c>
      <c r="B8" t="s">
        <v>21</v>
      </c>
      <c r="C8" t="s">
        <v>12</v>
      </c>
      <c r="D8" t="s">
        <v>22</v>
      </c>
      <c r="E8">
        <v>100</v>
      </c>
      <c r="F8">
        <v>79.989999999999995</v>
      </c>
      <c r="G8" t="s">
        <v>14</v>
      </c>
      <c r="I8">
        <f t="shared" si="0"/>
        <v>7998.9999999999991</v>
      </c>
    </row>
    <row r="9" spans="1:9">
      <c r="A9" t="s">
        <v>23</v>
      </c>
      <c r="B9" t="s">
        <v>24</v>
      </c>
      <c r="C9" t="s">
        <v>25</v>
      </c>
      <c r="D9" t="s">
        <v>13</v>
      </c>
      <c r="E9">
        <v>25</v>
      </c>
      <c r="F9">
        <v>299.99</v>
      </c>
      <c r="G9" t="s">
        <v>26</v>
      </c>
      <c r="I9">
        <f t="shared" si="0"/>
        <v>7499.75</v>
      </c>
    </row>
    <row r="10" spans="1:9">
      <c r="A10" t="s">
        <v>27</v>
      </c>
      <c r="B10" t="s">
        <v>28</v>
      </c>
      <c r="C10" t="s">
        <v>17</v>
      </c>
      <c r="D10" t="s">
        <v>29</v>
      </c>
      <c r="E10">
        <v>75</v>
      </c>
      <c r="F10">
        <v>199.99</v>
      </c>
      <c r="G10" t="s">
        <v>19</v>
      </c>
      <c r="I10">
        <f t="shared" si="0"/>
        <v>14999.25</v>
      </c>
    </row>
    <row r="11" spans="1:9">
      <c r="A11" t="s">
        <v>30</v>
      </c>
      <c r="B11" t="s">
        <v>31</v>
      </c>
      <c r="C11" t="s">
        <v>32</v>
      </c>
      <c r="D11" t="s">
        <v>18</v>
      </c>
      <c r="E11">
        <v>40</v>
      </c>
      <c r="F11">
        <v>149.99</v>
      </c>
      <c r="G11" t="s">
        <v>33</v>
      </c>
      <c r="I11">
        <f t="shared" si="0"/>
        <v>5999.6</v>
      </c>
    </row>
    <row r="12" spans="1:9">
      <c r="A12" t="s">
        <v>34</v>
      </c>
      <c r="B12" t="s">
        <v>35</v>
      </c>
      <c r="C12" t="s">
        <v>12</v>
      </c>
      <c r="D12" t="s">
        <v>36</v>
      </c>
      <c r="E12">
        <v>60</v>
      </c>
      <c r="F12">
        <v>399.99</v>
      </c>
      <c r="G12" t="s">
        <v>14</v>
      </c>
      <c r="I12">
        <f t="shared" si="0"/>
        <v>23999.4</v>
      </c>
    </row>
    <row r="13" spans="1:9">
      <c r="A13" t="s">
        <v>37</v>
      </c>
      <c r="B13" t="s">
        <v>38</v>
      </c>
      <c r="C13" t="s">
        <v>25</v>
      </c>
      <c r="D13" t="s">
        <v>22</v>
      </c>
      <c r="E13">
        <v>90</v>
      </c>
      <c r="F13">
        <v>79.989999999999995</v>
      </c>
      <c r="G13" t="s">
        <v>26</v>
      </c>
      <c r="I13">
        <f t="shared" si="0"/>
        <v>7199.0999999999995</v>
      </c>
    </row>
    <row r="14" spans="1:9">
      <c r="A14" t="s">
        <v>39</v>
      </c>
      <c r="B14" t="s">
        <v>40</v>
      </c>
      <c r="C14" t="s">
        <v>17</v>
      </c>
      <c r="D14" t="s">
        <v>13</v>
      </c>
      <c r="E14">
        <v>35</v>
      </c>
      <c r="F14">
        <v>299.99</v>
      </c>
      <c r="G14" t="s">
        <v>19</v>
      </c>
      <c r="I14">
        <f t="shared" si="0"/>
        <v>10499.65</v>
      </c>
    </row>
    <row r="15" spans="1:9">
      <c r="A15" t="s">
        <v>41</v>
      </c>
      <c r="B15" t="s">
        <v>42</v>
      </c>
      <c r="C15" t="s">
        <v>32</v>
      </c>
      <c r="D15" t="s">
        <v>29</v>
      </c>
      <c r="E15">
        <v>55</v>
      </c>
      <c r="F15">
        <v>199.99</v>
      </c>
      <c r="G15" t="s">
        <v>33</v>
      </c>
      <c r="I15">
        <f t="shared" si="0"/>
        <v>10999.45</v>
      </c>
    </row>
    <row r="16" spans="1:9">
      <c r="A16" t="s">
        <v>43</v>
      </c>
      <c r="B16" t="s">
        <v>44</v>
      </c>
      <c r="C16" t="s">
        <v>12</v>
      </c>
      <c r="D16" t="s">
        <v>18</v>
      </c>
      <c r="E16">
        <v>80</v>
      </c>
      <c r="F16">
        <v>149.99</v>
      </c>
      <c r="G16" t="s">
        <v>45</v>
      </c>
      <c r="I16">
        <f t="shared" si="0"/>
        <v>11999.2</v>
      </c>
    </row>
    <row r="17" spans="1:9">
      <c r="A17" t="s">
        <v>46</v>
      </c>
      <c r="B17" t="s">
        <v>47</v>
      </c>
      <c r="C17" t="s">
        <v>25</v>
      </c>
      <c r="D17" t="s">
        <v>36</v>
      </c>
      <c r="E17">
        <v>20</v>
      </c>
      <c r="F17">
        <v>399.99</v>
      </c>
      <c r="G17" t="s">
        <v>26</v>
      </c>
      <c r="I17">
        <f t="shared" si="0"/>
        <v>7999.8</v>
      </c>
    </row>
    <row r="18" spans="1:9">
      <c r="A18" t="s">
        <v>48</v>
      </c>
      <c r="B18" t="s">
        <v>49</v>
      </c>
      <c r="C18" t="s">
        <v>17</v>
      </c>
      <c r="D18" t="s">
        <v>22</v>
      </c>
      <c r="E18">
        <v>120</v>
      </c>
      <c r="F18">
        <v>79.989999999999995</v>
      </c>
      <c r="G18" t="s">
        <v>19</v>
      </c>
      <c r="I18">
        <f t="shared" si="0"/>
        <v>9598.7999999999993</v>
      </c>
    </row>
    <row r="19" spans="1:9">
      <c r="A19" t="s">
        <v>50</v>
      </c>
      <c r="B19" t="s">
        <v>51</v>
      </c>
      <c r="C19" t="s">
        <v>32</v>
      </c>
      <c r="D19" t="s">
        <v>13</v>
      </c>
      <c r="E19">
        <v>45</v>
      </c>
      <c r="F19">
        <v>299.99</v>
      </c>
      <c r="G19" t="s">
        <v>33</v>
      </c>
      <c r="I19">
        <f t="shared" si="0"/>
        <v>13499.550000000001</v>
      </c>
    </row>
    <row r="20" spans="1:9">
      <c r="A20" t="s">
        <v>52</v>
      </c>
      <c r="B20" t="s">
        <v>53</v>
      </c>
      <c r="C20" t="s">
        <v>12</v>
      </c>
      <c r="D20" t="s">
        <v>29</v>
      </c>
      <c r="E20">
        <v>65</v>
      </c>
      <c r="F20">
        <v>199.99</v>
      </c>
      <c r="G20" t="s">
        <v>14</v>
      </c>
      <c r="I20">
        <f t="shared" si="0"/>
        <v>12999.35</v>
      </c>
    </row>
    <row r="21" spans="1:9">
      <c r="A21" t="s">
        <v>54</v>
      </c>
      <c r="B21" t="s">
        <v>55</v>
      </c>
      <c r="C21" t="s">
        <v>25</v>
      </c>
      <c r="D21" t="s">
        <v>18</v>
      </c>
      <c r="E21">
        <v>55</v>
      </c>
      <c r="F21">
        <v>149.99</v>
      </c>
      <c r="G21" t="s">
        <v>26</v>
      </c>
      <c r="I21">
        <f t="shared" si="0"/>
        <v>8249.4500000000007</v>
      </c>
    </row>
    <row r="22" spans="1:9">
      <c r="A22" t="s">
        <v>56</v>
      </c>
      <c r="B22" t="s">
        <v>57</v>
      </c>
      <c r="C22" t="s">
        <v>17</v>
      </c>
      <c r="D22" t="s">
        <v>36</v>
      </c>
      <c r="E22">
        <v>30</v>
      </c>
      <c r="F22">
        <v>399.99</v>
      </c>
      <c r="G22" t="s">
        <v>19</v>
      </c>
      <c r="I22">
        <f t="shared" si="0"/>
        <v>11999.7</v>
      </c>
    </row>
    <row r="23" spans="1:9">
      <c r="A23" t="s">
        <v>58</v>
      </c>
      <c r="B23" t="s">
        <v>59</v>
      </c>
      <c r="C23" t="s">
        <v>32</v>
      </c>
      <c r="D23" t="s">
        <v>22</v>
      </c>
      <c r="E23">
        <v>85</v>
      </c>
      <c r="F23">
        <v>79.989999999999995</v>
      </c>
      <c r="G23" t="s">
        <v>33</v>
      </c>
      <c r="I23">
        <f t="shared" si="0"/>
        <v>6799.15</v>
      </c>
    </row>
    <row r="24" spans="1:9">
      <c r="A24" t="s">
        <v>60</v>
      </c>
      <c r="B24" t="s">
        <v>61</v>
      </c>
      <c r="C24" t="s">
        <v>12</v>
      </c>
      <c r="D24" t="s">
        <v>13</v>
      </c>
      <c r="E24">
        <v>40</v>
      </c>
      <c r="F24">
        <v>299.99</v>
      </c>
      <c r="G24" t="s">
        <v>45</v>
      </c>
      <c r="I24">
        <f t="shared" si="0"/>
        <v>11999.6</v>
      </c>
    </row>
    <row r="25" spans="1:9">
      <c r="A25" t="s">
        <v>62</v>
      </c>
      <c r="B25" t="s">
        <v>63</v>
      </c>
      <c r="C25" t="s">
        <v>25</v>
      </c>
      <c r="D25" t="s">
        <v>29</v>
      </c>
      <c r="E25">
        <v>70</v>
      </c>
      <c r="F25">
        <v>199.99</v>
      </c>
      <c r="G25" t="s">
        <v>26</v>
      </c>
      <c r="I25">
        <f t="shared" si="0"/>
        <v>13999.300000000001</v>
      </c>
    </row>
    <row r="26" spans="1:9">
      <c r="A26" t="s">
        <v>64</v>
      </c>
      <c r="B26" t="s">
        <v>65</v>
      </c>
      <c r="C26" t="s">
        <v>17</v>
      </c>
      <c r="D26" t="s">
        <v>18</v>
      </c>
      <c r="E26">
        <v>95</v>
      </c>
      <c r="F26">
        <v>149.99</v>
      </c>
      <c r="G26" t="s">
        <v>19</v>
      </c>
      <c r="I26">
        <f t="shared" si="0"/>
        <v>14249.050000000001</v>
      </c>
    </row>
    <row r="27" spans="1:9">
      <c r="A27" t="s">
        <v>66</v>
      </c>
      <c r="B27" t="s">
        <v>67</v>
      </c>
      <c r="C27" t="s">
        <v>32</v>
      </c>
      <c r="D27" t="s">
        <v>36</v>
      </c>
      <c r="E27">
        <v>25</v>
      </c>
      <c r="F27">
        <v>399.99</v>
      </c>
      <c r="G27" t="s">
        <v>33</v>
      </c>
      <c r="I27">
        <f t="shared" si="0"/>
        <v>9999.75</v>
      </c>
    </row>
    <row r="28" spans="1:9">
      <c r="A28" t="s">
        <v>68</v>
      </c>
      <c r="B28" t="s">
        <v>69</v>
      </c>
      <c r="C28" t="s">
        <v>12</v>
      </c>
      <c r="D28" t="s">
        <v>22</v>
      </c>
      <c r="E28">
        <v>110</v>
      </c>
      <c r="F28">
        <v>79.989999999999995</v>
      </c>
      <c r="G28" t="s">
        <v>14</v>
      </c>
      <c r="I28">
        <f t="shared" si="0"/>
        <v>8798.9</v>
      </c>
    </row>
    <row r="29" spans="1:9">
      <c r="I29">
        <f>SUM(I6:I28)</f>
        <v>250885.99999999997</v>
      </c>
    </row>
  </sheetData>
  <mergeCells count="2">
    <mergeCell ref="A2:E2"/>
    <mergeCell ref="A3:D3"/>
  </mergeCells>
  <pageMargins left="0" right="0" top="0" bottom="0" header="0" footer="0"/>
  <ignoredErrors>
    <ignoredError sqref="A1:G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5"/>
  <sheetData>
    <row r="1" spans="1:5">
      <c r="A1" t="s">
        <v>70</v>
      </c>
      <c r="B1" t="s">
        <v>0</v>
      </c>
      <c r="C1" t="s">
        <v>0</v>
      </c>
      <c r="D1" t="s">
        <v>0</v>
      </c>
      <c r="E1" t="s">
        <v>0</v>
      </c>
    </row>
    <row r="2" spans="1:5">
      <c r="A2" t="s">
        <v>0</v>
      </c>
      <c r="B2" t="s">
        <v>0</v>
      </c>
      <c r="C2" t="s">
        <v>0</v>
      </c>
      <c r="D2" t="s">
        <v>0</v>
      </c>
      <c r="E2" t="s">
        <v>0</v>
      </c>
    </row>
    <row r="3" spans="1:5">
      <c r="A3" t="s">
        <v>6</v>
      </c>
      <c r="B3" t="s">
        <v>71</v>
      </c>
      <c r="C3" t="s">
        <v>72</v>
      </c>
      <c r="D3" t="s">
        <v>73</v>
      </c>
      <c r="E3" t="s">
        <v>74</v>
      </c>
    </row>
    <row r="4" spans="1:5">
      <c r="A4" t="s">
        <v>13</v>
      </c>
      <c r="B4" t="s">
        <v>75</v>
      </c>
      <c r="C4" t="s">
        <v>76</v>
      </c>
      <c r="D4">
        <v>180</v>
      </c>
      <c r="E4" t="s">
        <v>77</v>
      </c>
    </row>
    <row r="5" spans="1:5">
      <c r="A5" t="s">
        <v>18</v>
      </c>
      <c r="B5" t="s">
        <v>78</v>
      </c>
      <c r="C5" t="s">
        <v>79</v>
      </c>
      <c r="D5">
        <v>45</v>
      </c>
      <c r="E5" t="s">
        <v>80</v>
      </c>
    </row>
    <row r="6" spans="1:5">
      <c r="A6" t="s">
        <v>22</v>
      </c>
      <c r="B6" t="s">
        <v>81</v>
      </c>
      <c r="C6" t="s">
        <v>82</v>
      </c>
      <c r="D6">
        <v>30</v>
      </c>
      <c r="E6" t="s">
        <v>83</v>
      </c>
    </row>
    <row r="7" spans="1:5">
      <c r="A7" t="s">
        <v>29</v>
      </c>
      <c r="B7" t="s">
        <v>84</v>
      </c>
      <c r="C7" t="s">
        <v>79</v>
      </c>
      <c r="D7">
        <v>85</v>
      </c>
      <c r="E7" t="s">
        <v>85</v>
      </c>
    </row>
    <row r="8" spans="1:5">
      <c r="A8" t="s">
        <v>36</v>
      </c>
      <c r="B8" t="s">
        <v>86</v>
      </c>
      <c r="C8" t="s">
        <v>82</v>
      </c>
      <c r="D8">
        <v>150</v>
      </c>
      <c r="E8" t="s">
        <v>83</v>
      </c>
    </row>
  </sheetData>
  <pageMargins left="0" right="0" top="0" bottom="0" header="0" footer="0"/>
  <ignoredErrors>
    <ignoredError sqref="A1:E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workbookViewId="0">
      <selection activeCell="F5" sqref="F5"/>
    </sheetView>
  </sheetViews>
  <sheetFormatPr defaultRowHeight="15"/>
  <cols>
    <col min="5" max="5" width="8.75" bestFit="1" customWidth="1"/>
  </cols>
  <sheetData>
    <row r="1" spans="1:6">
      <c r="A1" t="s">
        <v>87</v>
      </c>
    </row>
    <row r="2" spans="1:6">
      <c r="A2" t="s">
        <v>0</v>
      </c>
    </row>
    <row r="3" spans="1:6">
      <c r="A3" t="s">
        <v>88</v>
      </c>
      <c r="B3" t="s">
        <v>89</v>
      </c>
      <c r="C3" t="s">
        <v>5</v>
      </c>
      <c r="D3" t="s">
        <v>90</v>
      </c>
      <c r="E3" t="s">
        <v>91</v>
      </c>
      <c r="F3" t="s">
        <v>92</v>
      </c>
    </row>
    <row r="4" spans="1:6">
      <c r="A4" t="s">
        <v>19</v>
      </c>
      <c r="B4" t="s">
        <v>93</v>
      </c>
      <c r="C4" t="s">
        <v>17</v>
      </c>
      <c r="D4" t="s">
        <v>94</v>
      </c>
      <c r="E4">
        <v>150000</v>
      </c>
      <c r="F4" t="s">
        <v>95</v>
      </c>
    </row>
    <row r="5" spans="1:6">
      <c r="A5" t="s">
        <v>26</v>
      </c>
      <c r="B5" t="s">
        <v>96</v>
      </c>
      <c r="C5" t="s">
        <v>25</v>
      </c>
      <c r="D5" t="s">
        <v>97</v>
      </c>
      <c r="E5">
        <v>120000</v>
      </c>
      <c r="F5" t="s">
        <v>95</v>
      </c>
    </row>
    <row r="6" spans="1:6">
      <c r="A6" t="s">
        <v>14</v>
      </c>
      <c r="B6" t="s">
        <v>98</v>
      </c>
      <c r="C6" t="s">
        <v>12</v>
      </c>
      <c r="D6" t="s">
        <v>99</v>
      </c>
      <c r="E6">
        <v>175000</v>
      </c>
      <c r="F6" t="s">
        <v>100</v>
      </c>
    </row>
    <row r="7" spans="1:6">
      <c r="A7" t="s">
        <v>33</v>
      </c>
      <c r="B7" t="s">
        <v>101</v>
      </c>
      <c r="C7" t="s">
        <v>32</v>
      </c>
      <c r="D7" t="s">
        <v>102</v>
      </c>
      <c r="E7">
        <v>100000</v>
      </c>
      <c r="F7" t="s">
        <v>103</v>
      </c>
    </row>
    <row r="8" spans="1:6">
      <c r="A8" t="s">
        <v>45</v>
      </c>
      <c r="B8" t="s">
        <v>104</v>
      </c>
      <c r="C8" t="s">
        <v>12</v>
      </c>
      <c r="D8" t="s">
        <v>105</v>
      </c>
      <c r="E8">
        <v>80000</v>
      </c>
      <c r="F8" t="s">
        <v>106</v>
      </c>
    </row>
    <row r="13" spans="1:6">
      <c r="E13">
        <f>SUM(E4:E8)/5</f>
        <v>125000</v>
      </c>
    </row>
  </sheetData>
  <pageMargins left="0" right="0" top="0" bottom="0" header="0" footer="0"/>
  <ignoredErrors>
    <ignoredError sqref="A1:F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>
      <selection activeCell="E8" sqref="E8"/>
    </sheetView>
  </sheetViews>
  <sheetFormatPr defaultRowHeight="15"/>
  <sheetData>
    <row r="1" spans="1:5">
      <c r="A1" s="1" t="s">
        <v>107</v>
      </c>
      <c r="B1" s="1" t="s">
        <v>0</v>
      </c>
      <c r="C1" s="1" t="s">
        <v>0</v>
      </c>
      <c r="D1" s="1" t="s">
        <v>0</v>
      </c>
      <c r="E1" s="1" t="s">
        <v>0</v>
      </c>
    </row>
    <row r="2" spans="1:5">
      <c r="A2" t="s">
        <v>0</v>
      </c>
      <c r="B2" t="s">
        <v>0</v>
      </c>
      <c r="C2" t="s">
        <v>0</v>
      </c>
      <c r="D2" t="s">
        <v>0</v>
      </c>
      <c r="E2" t="s">
        <v>0</v>
      </c>
    </row>
    <row r="3" spans="1:5">
      <c r="A3" t="s">
        <v>0</v>
      </c>
      <c r="B3" t="s">
        <v>0</v>
      </c>
      <c r="C3" t="s">
        <v>108</v>
      </c>
      <c r="D3" t="s">
        <v>109</v>
      </c>
      <c r="E3" t="s">
        <v>110</v>
      </c>
    </row>
    <row r="4" spans="1:5">
      <c r="A4" t="s">
        <v>111</v>
      </c>
      <c r="B4" t="s">
        <v>0</v>
      </c>
      <c r="C4" t="s">
        <v>0</v>
      </c>
      <c r="D4" t="s">
        <v>0</v>
      </c>
      <c r="E4" t="s">
        <v>0</v>
      </c>
    </row>
    <row r="5" spans="1:5">
      <c r="A5" t="s">
        <v>0</v>
      </c>
      <c r="B5" t="s">
        <v>112</v>
      </c>
      <c r="C5">
        <v>180000</v>
      </c>
      <c r="D5">
        <v>185000</v>
      </c>
      <c r="E5">
        <v>365000</v>
      </c>
    </row>
    <row r="6" spans="1:5">
      <c r="A6" t="s">
        <v>0</v>
      </c>
      <c r="B6" t="s">
        <v>113</v>
      </c>
      <c r="C6">
        <v>25000</v>
      </c>
      <c r="D6">
        <v>30000</v>
      </c>
      <c r="E6">
        <v>55000</v>
      </c>
    </row>
    <row r="7" spans="1:5">
      <c r="A7" t="s">
        <v>0</v>
      </c>
      <c r="B7" t="s">
        <v>114</v>
      </c>
      <c r="C7">
        <v>15000</v>
      </c>
      <c r="D7">
        <v>18000</v>
      </c>
      <c r="E7">
        <v>33000</v>
      </c>
    </row>
    <row r="8" spans="1:5">
      <c r="A8" t="s">
        <v>115</v>
      </c>
      <c r="B8" t="s">
        <v>0</v>
      </c>
      <c r="C8">
        <v>220000</v>
      </c>
      <c r="D8">
        <v>233000</v>
      </c>
      <c r="E8">
        <v>453000</v>
      </c>
    </row>
    <row r="9" spans="1:5">
      <c r="A9" t="s">
        <v>0</v>
      </c>
      <c r="B9" t="s">
        <v>0</v>
      </c>
      <c r="C9" t="s">
        <v>0</v>
      </c>
      <c r="D9" t="s">
        <v>0</v>
      </c>
      <c r="E9" t="s">
        <v>0</v>
      </c>
    </row>
    <row r="10" spans="1:5">
      <c r="A10" t="s">
        <v>116</v>
      </c>
      <c r="B10" t="s">
        <v>0</v>
      </c>
      <c r="C10" t="s">
        <v>0</v>
      </c>
      <c r="D10" t="s">
        <v>0</v>
      </c>
      <c r="E10" t="s">
        <v>0</v>
      </c>
    </row>
    <row r="11" spans="1:5">
      <c r="A11" t="s">
        <v>0</v>
      </c>
      <c r="B11" t="s">
        <v>112</v>
      </c>
      <c r="C11">
        <v>120000</v>
      </c>
      <c r="D11">
        <v>125000</v>
      </c>
      <c r="E11">
        <v>245000</v>
      </c>
    </row>
    <row r="12" spans="1:5">
      <c r="A12" t="s">
        <v>0</v>
      </c>
      <c r="B12" t="s">
        <v>117</v>
      </c>
      <c r="C12">
        <v>60000</v>
      </c>
      <c r="D12">
        <v>75000</v>
      </c>
      <c r="E12">
        <v>135000</v>
      </c>
    </row>
    <row r="13" spans="1:5">
      <c r="A13" t="s">
        <v>0</v>
      </c>
      <c r="B13" t="s">
        <v>118</v>
      </c>
      <c r="C13">
        <v>40000</v>
      </c>
      <c r="D13">
        <v>50000</v>
      </c>
      <c r="E13">
        <v>90000</v>
      </c>
    </row>
    <row r="14" spans="1:5">
      <c r="A14" t="s">
        <v>119</v>
      </c>
      <c r="B14" t="s">
        <v>0</v>
      </c>
      <c r="C14">
        <v>220000</v>
      </c>
      <c r="D14">
        <v>250000</v>
      </c>
      <c r="E14">
        <v>470000</v>
      </c>
    </row>
    <row r="15" spans="1:5">
      <c r="A15" t="s">
        <v>0</v>
      </c>
      <c r="B15" t="s">
        <v>0</v>
      </c>
      <c r="C15" t="s">
        <v>0</v>
      </c>
      <c r="D15" t="s">
        <v>0</v>
      </c>
      <c r="E15" t="s">
        <v>0</v>
      </c>
    </row>
    <row r="16" spans="1:5">
      <c r="A16" t="s">
        <v>120</v>
      </c>
      <c r="B16" t="s">
        <v>0</v>
      </c>
      <c r="C16" t="s">
        <v>0</v>
      </c>
      <c r="D16" t="s">
        <v>0</v>
      </c>
      <c r="E16" t="s">
        <v>0</v>
      </c>
    </row>
    <row r="17" spans="1:5">
      <c r="A17" t="s">
        <v>0</v>
      </c>
      <c r="B17" t="s">
        <v>112</v>
      </c>
      <c r="C17">
        <v>350000</v>
      </c>
      <c r="D17">
        <v>360000</v>
      </c>
      <c r="E17">
        <v>710000</v>
      </c>
    </row>
    <row r="18" spans="1:5">
      <c r="A18" t="s">
        <v>0</v>
      </c>
      <c r="B18" t="s">
        <v>121</v>
      </c>
      <c r="C18">
        <v>95000</v>
      </c>
      <c r="D18">
        <v>100000</v>
      </c>
      <c r="E18">
        <v>195000</v>
      </c>
    </row>
    <row r="19" spans="1:5">
      <c r="A19" t="s">
        <v>0</v>
      </c>
      <c r="B19" t="s">
        <v>122</v>
      </c>
      <c r="C19">
        <v>45000</v>
      </c>
      <c r="D19">
        <v>50000</v>
      </c>
      <c r="E19">
        <v>95000</v>
      </c>
    </row>
    <row r="20" spans="1:5">
      <c r="A20" t="s">
        <v>123</v>
      </c>
      <c r="B20" t="s">
        <v>0</v>
      </c>
      <c r="C20">
        <v>490000</v>
      </c>
      <c r="D20">
        <v>510000</v>
      </c>
      <c r="E20">
        <v>1000000</v>
      </c>
    </row>
    <row r="21" spans="1:5">
      <c r="A21" t="s">
        <v>0</v>
      </c>
      <c r="B21" t="s">
        <v>0</v>
      </c>
      <c r="C21" t="s">
        <v>0</v>
      </c>
      <c r="D21" t="s">
        <v>0</v>
      </c>
      <c r="E21" t="s">
        <v>0</v>
      </c>
    </row>
    <row r="22" spans="1:5">
      <c r="A22" t="s">
        <v>124</v>
      </c>
      <c r="B22" t="s">
        <v>0</v>
      </c>
      <c r="C22">
        <v>930000</v>
      </c>
      <c r="D22">
        <v>993000</v>
      </c>
      <c r="E22">
        <v>1923000</v>
      </c>
    </row>
  </sheetData>
  <mergeCells count="1">
    <mergeCell ref="A1:E1"/>
  </mergeCells>
  <pageMargins left="0" right="0" top="0" bottom="0" header="0" footer="0"/>
  <ignoredErrors>
    <ignoredError sqref="A1:E2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C4" sqref="C4:C6"/>
    </sheetView>
  </sheetViews>
  <sheetFormatPr defaultRowHeight="15"/>
  <sheetData>
    <row r="1" spans="1:4">
      <c r="A1" t="s">
        <v>125</v>
      </c>
    </row>
    <row r="2" spans="1:4">
      <c r="A2" t="s">
        <v>0</v>
      </c>
    </row>
    <row r="3" spans="1:4">
      <c r="A3" t="s">
        <v>126</v>
      </c>
      <c r="B3" t="s">
        <v>72</v>
      </c>
      <c r="C3" t="s">
        <v>127</v>
      </c>
      <c r="D3" t="s">
        <v>128</v>
      </c>
    </row>
    <row r="4" spans="1:4">
      <c r="A4" t="s">
        <v>129</v>
      </c>
      <c r="B4" t="s">
        <v>112</v>
      </c>
      <c r="C4">
        <v>178500</v>
      </c>
      <c r="D4">
        <v>186200</v>
      </c>
    </row>
    <row r="5" spans="1:4">
      <c r="A5" t="s">
        <v>129</v>
      </c>
      <c r="B5" t="s">
        <v>113</v>
      </c>
      <c r="C5">
        <v>28000</v>
      </c>
      <c r="D5">
        <v>35000</v>
      </c>
    </row>
    <row r="6" spans="1:4">
      <c r="A6" t="s">
        <v>129</v>
      </c>
      <c r="B6" t="s">
        <v>114</v>
      </c>
      <c r="C6">
        <v>14200</v>
      </c>
      <c r="D6">
        <v>19500</v>
      </c>
    </row>
    <row r="7" spans="1:4">
      <c r="A7" t="s">
        <v>130</v>
      </c>
      <c r="B7" t="s">
        <v>112</v>
      </c>
      <c r="C7">
        <v>120000</v>
      </c>
      <c r="D7">
        <v>125000</v>
      </c>
    </row>
    <row r="8" spans="1:4">
      <c r="A8" t="s">
        <v>130</v>
      </c>
      <c r="B8" t="s">
        <v>117</v>
      </c>
      <c r="C8">
        <v>72000</v>
      </c>
      <c r="D8">
        <v>88000</v>
      </c>
    </row>
    <row r="9" spans="1:4">
      <c r="A9" t="s">
        <v>130</v>
      </c>
      <c r="B9" t="s">
        <v>118</v>
      </c>
      <c r="C9">
        <v>45000</v>
      </c>
      <c r="D9">
        <v>62000</v>
      </c>
    </row>
    <row r="10" spans="1:4">
      <c r="A10" t="s">
        <v>131</v>
      </c>
      <c r="B10" t="s">
        <v>112</v>
      </c>
      <c r="C10">
        <v>352000</v>
      </c>
      <c r="D10">
        <v>358000</v>
      </c>
    </row>
    <row r="11" spans="1:4">
      <c r="A11" t="s">
        <v>131</v>
      </c>
      <c r="B11" t="s">
        <v>121</v>
      </c>
      <c r="C11">
        <v>105000</v>
      </c>
      <c r="D11">
        <v>118000</v>
      </c>
    </row>
    <row r="12" spans="1:4">
      <c r="A12" t="s">
        <v>131</v>
      </c>
      <c r="B12" t="s">
        <v>122</v>
      </c>
      <c r="C12">
        <v>58000</v>
      </c>
      <c r="D12">
        <v>72000</v>
      </c>
    </row>
  </sheetData>
  <pageMargins left="0" right="0" top="0" bottom="0" header="0" footer="0"/>
  <ignoredErrors>
    <ignoredError sqref="A1:D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97DD31D4959242A8DB7AF314A4992F" ma:contentTypeVersion="13" ma:contentTypeDescription="Create a new document." ma:contentTypeScope="" ma:versionID="60b06c98df14bd465834954bdc8cf143">
  <xsd:schema xmlns:xsd="http://www.w3.org/2001/XMLSchema" xmlns:xs="http://www.w3.org/2001/XMLSchema" xmlns:p="http://schemas.microsoft.com/office/2006/metadata/properties" xmlns:ns2="1811bd21-afa2-4139-94ad-dccbb3379f5c" xmlns:ns3="aef88faf-9615-4082-a682-c14437908ad0" targetNamespace="http://schemas.microsoft.com/office/2006/metadata/properties" ma:root="true" ma:fieldsID="93a65d5f966342ccb21c3c7598728732" ns2:_="" ns3:_="">
    <xsd:import namespace="1811bd21-afa2-4139-94ad-dccbb3379f5c"/>
    <xsd:import namespace="aef88faf-9615-4082-a682-c14437908a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1bd21-afa2-4139-94ad-dccbb3379f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405d28-8604-4903-8647-c97003904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88faf-9615-4082-a682-c14437908a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b7f9ee-e4b8-4166-9938-fd1f1dc32b00}" ma:internalName="TaxCatchAll" ma:showField="CatchAllData" ma:web="aef88faf-9615-4082-a682-c14437908a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11bd21-afa2-4139-94ad-dccbb3379f5c">
      <Terms xmlns="http://schemas.microsoft.com/office/infopath/2007/PartnerControls"/>
    </lcf76f155ced4ddcb4097134ff3c332f>
    <TaxCatchAll xmlns="aef88faf-9615-4082-a682-c14437908ad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95664B-AB81-4CD1-8406-B0589D76EAAF}"/>
</file>

<file path=customXml/itemProps2.xml><?xml version="1.0" encoding="utf-8"?>
<ds:datastoreItem xmlns:ds="http://schemas.openxmlformats.org/officeDocument/2006/customXml" ds:itemID="{153E909C-01BD-4EAB-88AA-7E8EC5CA21FA}"/>
</file>

<file path=customXml/itemProps3.xml><?xml version="1.0" encoding="utf-8"?>
<ds:datastoreItem xmlns:ds="http://schemas.openxmlformats.org/officeDocument/2006/customXml" ds:itemID="{909E4047-07E5-4474-AF60-B5E6084894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Mackenzie Nolan</cp:lastModifiedBy>
  <cp:revision/>
  <dcterms:created xsi:type="dcterms:W3CDTF">2026-01-27T20:36:07Z</dcterms:created>
  <dcterms:modified xsi:type="dcterms:W3CDTF">2026-01-27T20:36:07Z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0x0101008197DD31D4959242A8DB7AF314A4992F</vt:lpwstr>
  </property>
  <property fmtid="{D5CDD505-2E9C-101B-9397-08002B2CF9AE}" pid="3" name="MediaServiceImageTags">
    <vt:lpwstr/>
  </property>
</Properties>
</file>